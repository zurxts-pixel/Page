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guizarg\Documents\confrontas 2026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5" i="1"/>
  <c r="P4" i="1"/>
</calcChain>
</file>

<file path=xl/sharedStrings.xml><?xml version="1.0" encoding="utf-8"?>
<sst xmlns="http://schemas.openxmlformats.org/spreadsheetml/2006/main" count="67" uniqueCount="32">
  <si>
    <t>Guanajuato</t>
  </si>
  <si>
    <t>BTIR</t>
  </si>
  <si>
    <t>RGCX</t>
  </si>
  <si>
    <t>GCPC-30R</t>
  </si>
  <si>
    <t>FXE-0993</t>
  </si>
  <si>
    <t>NAHX</t>
  </si>
  <si>
    <t>FXE-0994</t>
  </si>
  <si>
    <t>FXE-1039</t>
  </si>
  <si>
    <t>GACX</t>
  </si>
  <si>
    <t>GCPC-40</t>
  </si>
  <si>
    <t>FXE-1196</t>
  </si>
  <si>
    <t>FXE-1957</t>
  </si>
  <si>
    <t>FXE-3152</t>
  </si>
  <si>
    <t>FXE-3154</t>
  </si>
  <si>
    <t>FXE-3153</t>
  </si>
  <si>
    <t>TILX</t>
  </si>
  <si>
    <t>EO-MM 25 KG</t>
  </si>
  <si>
    <t>FXE-3150</t>
  </si>
  <si>
    <t>Consecutivo</t>
  </si>
  <si>
    <t>Estado</t>
  </si>
  <si>
    <t>Destino</t>
  </si>
  <si>
    <t>Marcas</t>
  </si>
  <si>
    <t>Número</t>
  </si>
  <si>
    <t>Faltante (Tons)</t>
  </si>
  <si>
    <t>Fecha siniestro 
 Confronta</t>
  </si>
  <si>
    <t>Fecha de
 Confronta</t>
  </si>
  <si>
    <t>Remisión</t>
  </si>
  <si>
    <t>Item</t>
  </si>
  <si>
    <t>Nombre Material SAP</t>
  </si>
  <si>
    <t>Guia</t>
  </si>
  <si>
    <t>Confronta / Acta de Hechos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</si>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</sst>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35FC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80" zoomScaleNormal="80" workbookViewId="0">
      <selection activeCell="H15" sqref="H15"/>
    </sheetView>
  </sheetViews>
  <sheetFormatPr defaultRowHeight="14.5" x14ac:dyDescent="0.35"/>
  <cols>
    <col min="1" max="1" width="10.90625" style="1" bestFit="1" customWidth="1"/>
    <col min="2" max="2" width="9.26953125" style="1" bestFit="1" customWidth="1"/>
    <col min="3" max="3" width="7.1796875" style="1" bestFit="1" customWidth="1"/>
    <col min="4" max="4" width="6.90625" style="1" bestFit="1" customWidth="1"/>
    <col min="5" max="5" width="7.6328125" style="1" bestFit="1" customWidth="1"/>
    <col min="6" max="6" width="13.36328125" style="1" bestFit="1" customWidth="1"/>
    <col min="7" max="7" width="23.81640625" style="1" bestFit="1" customWidth="1"/>
    <col min="8" max="8" width="18.26953125" style="1" bestFit="1" customWidth="1"/>
    <col min="9" max="9" width="9" style="1" bestFit="1" customWidth="1"/>
    <col min="10" max="10" width="8.08984375" style="1" bestFit="1" customWidth="1"/>
    <col min="11" max="11" width="18.81640625" style="1" bestFit="1" customWidth="1"/>
    <col min="12" max="12" width="6.26953125" style="1" bestFit="1" customWidth="1"/>
    <col min="13" max="13" width="24" style="1" bestFit="1" customWidth="1"/>
    <col min="15" max="15" width="12.54296875" bestFit="1" customWidth="1"/>
  </cols>
  <sheetData>
    <row r="1" spans="1:16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6" x14ac:dyDescent="0.35">
      <c r="A2" s="2">
        <v>9</v>
      </c>
      <c r="B2" s="3" t="s">
        <v>0</v>
      </c>
      <c r="C2" s="3" t="s">
        <v>1</v>
      </c>
      <c r="D2" s="3" t="s">
        <v>2</v>
      </c>
      <c r="E2" s="3">
        <v>507</v>
      </c>
      <c r="F2" s="3">
        <v>43.67</v>
      </c>
      <c r="G2" s="4">
        <v>46063</v>
      </c>
      <c r="H2" s="4">
        <v>46064</v>
      </c>
      <c r="I2" s="3">
        <v>34654674</v>
      </c>
      <c r="J2" s="3">
        <v>10040740</v>
      </c>
      <c r="K2" s="3" t="s">
        <v>3</v>
      </c>
      <c r="L2" s="3">
        <v>348849</v>
      </c>
      <c r="M2" s="3" t="s">
        <v>4</v>
      </c>
    </row>
    <row r="3" spans="1:16" x14ac:dyDescent="0.35">
      <c r="A3" s="2">
        <v>10</v>
      </c>
      <c r="B3" s="3" t="s">
        <v>0</v>
      </c>
      <c r="C3" s="3" t="s">
        <v>1</v>
      </c>
      <c r="D3" s="3" t="s">
        <v>5</v>
      </c>
      <c r="E3" s="3">
        <v>330108</v>
      </c>
      <c r="F3" s="3">
        <v>39.97</v>
      </c>
      <c r="G3" s="4">
        <v>46063</v>
      </c>
      <c r="H3" s="4">
        <v>46064</v>
      </c>
      <c r="I3" s="3">
        <v>342637342</v>
      </c>
      <c r="J3" s="3">
        <v>10040740</v>
      </c>
      <c r="K3" s="3" t="s">
        <v>3</v>
      </c>
      <c r="L3" s="3">
        <v>344363</v>
      </c>
      <c r="M3" s="3" t="s">
        <v>6</v>
      </c>
      <c r="P3" t="s">
        <v>31</v>
      </c>
    </row>
    <row r="4" spans="1:16" x14ac:dyDescent="0.35">
      <c r="A4" s="2">
        <v>11</v>
      </c>
      <c r="B4" s="3" t="s">
        <v>0</v>
      </c>
      <c r="C4" s="3" t="s">
        <v>1</v>
      </c>
      <c r="D4" s="3" t="s">
        <v>2</v>
      </c>
      <c r="E4" s="3">
        <v>881</v>
      </c>
      <c r="F4" s="3">
        <v>35</v>
      </c>
      <c r="G4" s="4">
        <v>46065</v>
      </c>
      <c r="H4" s="4">
        <v>46067</v>
      </c>
      <c r="I4" s="3">
        <v>342666601</v>
      </c>
      <c r="J4" s="3">
        <v>10040740</v>
      </c>
      <c r="K4" s="3" t="s">
        <v>3</v>
      </c>
      <c r="L4" s="3">
        <v>352005</v>
      </c>
      <c r="M4" s="3" t="s">
        <v>7</v>
      </c>
      <c r="O4" s="3" t="s">
        <v>3</v>
      </c>
      <c r="P4">
        <f>SUMIF($K$2:$K$18, O4, $F$2:$F$1000)</f>
        <v>242.89</v>
      </c>
    </row>
    <row r="5" spans="1:16" x14ac:dyDescent="0.35">
      <c r="A5" s="2">
        <v>12</v>
      </c>
      <c r="B5" s="3" t="s">
        <v>0</v>
      </c>
      <c r="C5" s="3" t="s">
        <v>1</v>
      </c>
      <c r="D5" s="3" t="s">
        <v>8</v>
      </c>
      <c r="E5" s="3">
        <v>2524</v>
      </c>
      <c r="F5" s="3">
        <v>83</v>
      </c>
      <c r="G5" s="4">
        <v>46072</v>
      </c>
      <c r="H5" s="4">
        <v>46073</v>
      </c>
      <c r="I5" s="3">
        <v>342708389</v>
      </c>
      <c r="J5" s="3">
        <v>10040742</v>
      </c>
      <c r="K5" s="3" t="s">
        <v>9</v>
      </c>
      <c r="L5" s="3">
        <v>361215</v>
      </c>
      <c r="M5" s="3" t="s">
        <v>10</v>
      </c>
      <c r="O5" s="3" t="s">
        <v>9</v>
      </c>
      <c r="P5">
        <f>SUMIF($K$2:$K$18, O5, $F$2:$F$1000)</f>
        <v>156.44</v>
      </c>
    </row>
    <row r="6" spans="1:16" x14ac:dyDescent="0.35">
      <c r="A6" s="2">
        <v>13</v>
      </c>
      <c r="B6" s="3" t="s">
        <v>0</v>
      </c>
      <c r="C6" s="3" t="s">
        <v>1</v>
      </c>
      <c r="D6" s="3" t="s">
        <v>2</v>
      </c>
      <c r="E6" s="3">
        <v>893</v>
      </c>
      <c r="F6" s="3">
        <v>73.44</v>
      </c>
      <c r="G6" s="4">
        <v>46091</v>
      </c>
      <c r="H6" s="4">
        <v>46092</v>
      </c>
      <c r="I6" s="3">
        <v>342840963</v>
      </c>
      <c r="J6" s="3">
        <v>10040742</v>
      </c>
      <c r="K6" s="3" t="s">
        <v>9</v>
      </c>
      <c r="L6" s="3">
        <v>390763</v>
      </c>
      <c r="M6" s="3" t="s">
        <v>11</v>
      </c>
      <c r="O6" s="3" t="s">
        <v>16</v>
      </c>
      <c r="P6">
        <f>SUMIF($K$2:$K$18, O6, $F$2:$F$1000)</f>
        <v>1.4750000000000001</v>
      </c>
    </row>
    <row r="7" spans="1:16" x14ac:dyDescent="0.35">
      <c r="A7" s="2">
        <v>14</v>
      </c>
      <c r="B7" s="3" t="s">
        <v>0</v>
      </c>
      <c r="C7" s="3" t="s">
        <v>1</v>
      </c>
      <c r="D7" s="3" t="s">
        <v>2</v>
      </c>
      <c r="E7" s="3">
        <v>889</v>
      </c>
      <c r="F7" s="3">
        <v>39.5</v>
      </c>
      <c r="G7" s="4">
        <v>46120</v>
      </c>
      <c r="H7" s="4">
        <v>46129</v>
      </c>
      <c r="I7" s="3">
        <v>343021097</v>
      </c>
      <c r="J7" s="3">
        <v>10040740</v>
      </c>
      <c r="K7" s="3" t="s">
        <v>3</v>
      </c>
      <c r="L7" s="3">
        <v>431723</v>
      </c>
      <c r="M7" s="3" t="s">
        <v>12</v>
      </c>
    </row>
    <row r="8" spans="1:16" x14ac:dyDescent="0.35">
      <c r="A8" s="2">
        <v>15</v>
      </c>
      <c r="B8" s="3" t="s">
        <v>0</v>
      </c>
      <c r="C8" s="3" t="s">
        <v>1</v>
      </c>
      <c r="D8" s="3" t="s">
        <v>2</v>
      </c>
      <c r="E8" s="3">
        <v>344</v>
      </c>
      <c r="F8" s="3">
        <v>20</v>
      </c>
      <c r="G8" s="4">
        <v>46120</v>
      </c>
      <c r="H8" s="4">
        <v>46129</v>
      </c>
      <c r="I8" s="3">
        <v>343021089</v>
      </c>
      <c r="J8" s="3">
        <v>10040740</v>
      </c>
      <c r="K8" s="3" t="s">
        <v>3</v>
      </c>
      <c r="L8" s="3">
        <v>431726</v>
      </c>
      <c r="M8" s="3" t="s">
        <v>13</v>
      </c>
    </row>
    <row r="9" spans="1:16" x14ac:dyDescent="0.35">
      <c r="A9" s="2">
        <v>16</v>
      </c>
      <c r="B9" s="3" t="s">
        <v>0</v>
      </c>
      <c r="C9" s="3" t="s">
        <v>1</v>
      </c>
      <c r="D9" s="3" t="s">
        <v>2</v>
      </c>
      <c r="E9" s="3">
        <v>340</v>
      </c>
      <c r="F9" s="3">
        <v>44.75</v>
      </c>
      <c r="G9" s="4">
        <v>46120</v>
      </c>
      <c r="H9" s="4">
        <v>46129</v>
      </c>
      <c r="I9" s="3">
        <v>343021088</v>
      </c>
      <c r="J9" s="3">
        <v>10040740</v>
      </c>
      <c r="K9" s="3" t="s">
        <v>3</v>
      </c>
      <c r="L9" s="3">
        <v>431727</v>
      </c>
      <c r="M9" s="3" t="s">
        <v>14</v>
      </c>
    </row>
    <row r="10" spans="1:16" x14ac:dyDescent="0.35">
      <c r="A10" s="2">
        <v>17</v>
      </c>
      <c r="B10" s="3" t="s">
        <v>0</v>
      </c>
      <c r="C10" s="3" t="s">
        <v>1</v>
      </c>
      <c r="D10" s="3" t="s">
        <v>2</v>
      </c>
      <c r="E10" s="3">
        <v>358</v>
      </c>
      <c r="F10" s="3">
        <v>20</v>
      </c>
      <c r="G10" s="4">
        <v>46120</v>
      </c>
      <c r="H10" s="4">
        <v>46129</v>
      </c>
      <c r="I10" s="3">
        <v>343021092</v>
      </c>
      <c r="J10" s="3">
        <v>10040740</v>
      </c>
      <c r="K10" s="3" t="s">
        <v>3</v>
      </c>
      <c r="L10" s="3">
        <v>431727</v>
      </c>
      <c r="M10" s="3" t="s">
        <v>14</v>
      </c>
    </row>
    <row r="11" spans="1:16" x14ac:dyDescent="0.35">
      <c r="A11" s="2">
        <v>18</v>
      </c>
      <c r="B11" s="3" t="s">
        <v>0</v>
      </c>
      <c r="C11" s="3" t="s">
        <v>1</v>
      </c>
      <c r="D11" s="3" t="s">
        <v>15</v>
      </c>
      <c r="E11" s="3">
        <v>4009</v>
      </c>
      <c r="F11" s="3">
        <v>1.4750000000000001</v>
      </c>
      <c r="G11" s="4">
        <v>46120</v>
      </c>
      <c r="H11" s="4">
        <v>46129</v>
      </c>
      <c r="I11" s="3">
        <v>343043252</v>
      </c>
      <c r="J11" s="3">
        <v>10071325</v>
      </c>
      <c r="K11" s="3" t="s">
        <v>16</v>
      </c>
      <c r="L11" s="3">
        <v>439494</v>
      </c>
      <c r="M1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Guizar Garcia</dc:creator>
  <cp:lastModifiedBy>Agustin Guizar Garcia</cp:lastModifiedBy>
  <dcterms:created xsi:type="dcterms:W3CDTF">2026-04-18T14:25:32Z</dcterms:created>
  <dcterms:modified xsi:type="dcterms:W3CDTF">2026-04-18T15:35:51Z</dcterms:modified>
</cp:coreProperties>
</file>